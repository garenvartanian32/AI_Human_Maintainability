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b61323041236f3/Desktop/UNI - Garen/COMP4093/"/>
    </mc:Choice>
  </mc:AlternateContent>
  <xr:revisionPtr revIDLastSave="12" documentId="11_961A1A85A062ECB81732A27E4A8E8375E531362E" xr6:coauthVersionLast="47" xr6:coauthVersionMax="47" xr10:uidLastSave="{844F777B-3B02-4C74-8470-E0E22B516E6B}"/>
  <bookViews>
    <workbookView xWindow="-108" yWindow="-108" windowWidth="23256" windowHeight="12456" activeTab="1" xr2:uid="{00000000-000D-0000-FFFF-FFFF00000000}"/>
  </bookViews>
  <sheets>
    <sheet name="Overview" sheetId="1" r:id="rId1"/>
    <sheet name="Experiment 1" sheetId="2" r:id="rId2"/>
    <sheet name="Experiment 2" sheetId="3" r:id="rId3"/>
    <sheet name="Experiment 3" sheetId="4" r:id="rId4"/>
    <sheet name="Experiment 4" sheetId="5" r:id="rId5"/>
  </sheets>
  <calcPr calcId="0"/>
</workbook>
</file>

<file path=xl/sharedStrings.xml><?xml version="1.0" encoding="utf-8"?>
<sst xmlns="http://schemas.openxmlformats.org/spreadsheetml/2006/main" count="188" uniqueCount="58">
  <si>
    <t>Thesis Results Figure Workbook</t>
  </si>
  <si>
    <t>Experiment</t>
  </si>
  <si>
    <t>Comparison</t>
  </si>
  <si>
    <t>Primary grouping</t>
  </si>
  <si>
    <t>Metrics</t>
  </si>
  <si>
    <t>Recommended figure</t>
  </si>
  <si>
    <t>Note</t>
  </si>
  <si>
    <t>Experiment One</t>
  </si>
  <si>
    <t>Human-written vs AI-generated</t>
  </si>
  <si>
    <t>Human-written / Claude / Codex</t>
  </si>
  <si>
    <t>MI, CC, LOC, HV</t>
  </si>
  <si>
    <t>Clustered column</t>
  </si>
  <si>
    <t>Chart each metric separately</t>
  </si>
  <si>
    <t>Experiment Two</t>
  </si>
  <si>
    <t>Programming language</t>
  </si>
  <si>
    <t>Python / Java / C++ by source</t>
  </si>
  <si>
    <t>Grouped column</t>
  </si>
  <si>
    <t>Compare sources within each language</t>
  </si>
  <si>
    <t>Experiment Three</t>
  </si>
  <si>
    <t>Older vs newer AI models</t>
  </si>
  <si>
    <t>Codex and Claude; older vs newer</t>
  </si>
  <si>
    <t>Older and newer shown side-by-side</t>
  </si>
  <si>
    <t>Experiment Four</t>
  </si>
  <si>
    <t>Prompt condition</t>
  </si>
  <si>
    <t>Standard vs maintainability prompt</t>
  </si>
  <si>
    <t>Compare prompt conditions by provider</t>
  </si>
  <si>
    <t>Figure guidance</t>
  </si>
  <si>
    <t>Keep MI, CC, LOC, and HV in separate charts because their scales differ.</t>
  </si>
  <si>
    <t>All values in this workbook are taken from the latest Results chapter supplied for the thesis.</t>
  </si>
  <si>
    <t>Use the chart-ready blocks on each experiment sheet when exporting figures for the thesis.</t>
  </si>
  <si>
    <t>Experiment One — Human-Written vs AI-Generated Code</t>
  </si>
  <si>
    <t>Source</t>
  </si>
  <si>
    <t>n</t>
  </si>
  <si>
    <t>MI</t>
  </si>
  <si>
    <t>CC</t>
  </si>
  <si>
    <t>LOC</t>
  </si>
  <si>
    <t>HV</t>
  </si>
  <si>
    <t>Human-written</t>
  </si>
  <si>
    <t>Claude</t>
  </si>
  <si>
    <t>Codex</t>
  </si>
  <si>
    <t>Experiment Two — Programming Language Comparison</t>
  </si>
  <si>
    <t>Language</t>
  </si>
  <si>
    <t>Python</t>
  </si>
  <si>
    <t>Java</t>
  </si>
  <si>
    <t>C++</t>
  </si>
  <si>
    <t>Experiment Three — Older vs Newer AI Models</t>
  </si>
  <si>
    <t>Provider</t>
  </si>
  <si>
    <t>Model</t>
  </si>
  <si>
    <t>GPT-5.5</t>
  </si>
  <si>
    <t>GPT-5.6-Sol</t>
  </si>
  <si>
    <t>Opus 4.6</t>
  </si>
  <si>
    <t>Opus 4.8</t>
  </si>
  <si>
    <t>Older</t>
  </si>
  <si>
    <t>Newer</t>
  </si>
  <si>
    <t>Experiment Four — Standard vs Maintainability-Focused Prompting</t>
  </si>
  <si>
    <t>Prompt</t>
  </si>
  <si>
    <t>Standard</t>
  </si>
  <si>
    <t>Maintainability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</si>
</sst>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DDEBF7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0" borderId="5" xfId="0" applyNumberFormat="1" applyBorder="1"/>
    <xf numFmtId="1" fontId="0" fillId="0" borderId="8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3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/>
              <a:t>Experiment One — Maintainability Index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</c:v>
          </c:tx>
          <c:invertIfNegative val="1"/>
          <c:dPt>
            <c:idx val="1"/>
            <c:invertIfNegative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0-F23D-4166-9564-7F6B980902A2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F23D-4166-9564-7F6B980902A2}"/>
              </c:ext>
            </c:extLst>
          </c:dPt>
          <c:cat>
            <c:strRef>
              <c:f>'Experiment 1'!$A$10:$A$12</c:f>
              <c:strCache>
                <c:ptCount val="3"/>
                <c:pt idx="0">
                  <c:v>Human-written</c:v>
                </c:pt>
                <c:pt idx="1">
                  <c:v>Claude</c:v>
                </c:pt>
                <c:pt idx="2">
                  <c:v>Codex</c:v>
                </c:pt>
              </c:strCache>
            </c:strRef>
          </c:cat>
          <c:val>
            <c:numRef>
              <c:f>'Experiment 1'!$B$10:$B$12</c:f>
              <c:numCache>
                <c:formatCode>General</c:formatCode>
                <c:ptCount val="3"/>
                <c:pt idx="0">
                  <c:v>49.06</c:v>
                </c:pt>
                <c:pt idx="1">
                  <c:v>59.9</c:v>
                </c:pt>
                <c:pt idx="2">
                  <c:v>72.52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7-42DD-9096-E3176512FF9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/>
              <a:t>Experiment One — Cyclomatic Complexity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CC</c:v>
          </c:tx>
          <c:invertIfNegative val="1"/>
          <c:dPt>
            <c:idx val="1"/>
            <c:invertIfNegative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0-525E-444E-BC2E-FC7415DDE10E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525E-444E-BC2E-FC7415DDE10E}"/>
              </c:ext>
            </c:extLst>
          </c:dPt>
          <c:cat>
            <c:strRef>
              <c:f>'Experiment 1'!$D$10:$D$12</c:f>
              <c:strCache>
                <c:ptCount val="3"/>
                <c:pt idx="0">
                  <c:v>Human-written</c:v>
                </c:pt>
                <c:pt idx="1">
                  <c:v>Claude</c:v>
                </c:pt>
                <c:pt idx="2">
                  <c:v>Codex</c:v>
                </c:pt>
              </c:strCache>
            </c:strRef>
          </c:cat>
          <c:val>
            <c:numRef>
              <c:f>'Experiment 1'!$E$10:$E$12</c:f>
              <c:numCache>
                <c:formatCode>General</c:formatCode>
                <c:ptCount val="3"/>
                <c:pt idx="0">
                  <c:v>18.71</c:v>
                </c:pt>
                <c:pt idx="1">
                  <c:v>6.85</c:v>
                </c:pt>
                <c:pt idx="2">
                  <c:v>5.33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0-470A-B376-4A17C7879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/>
              <a:t>Experiment One — Lines of Code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LOC</c:v>
          </c:tx>
          <c:invertIfNegative val="1"/>
          <c:dPt>
            <c:idx val="1"/>
            <c:invertIfNegative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0-5201-4361-9CA6-0E95ACF7DF20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5201-4361-9CA6-0E95ACF7DF20}"/>
              </c:ext>
            </c:extLst>
          </c:dPt>
          <c:cat>
            <c:strRef>
              <c:f>'Experiment 1'!$A$16:$A$18</c:f>
              <c:strCache>
                <c:ptCount val="3"/>
                <c:pt idx="0">
                  <c:v>Human-written</c:v>
                </c:pt>
                <c:pt idx="1">
                  <c:v>Claude</c:v>
                </c:pt>
                <c:pt idx="2">
                  <c:v>Codex</c:v>
                </c:pt>
              </c:strCache>
            </c:strRef>
          </c:cat>
          <c:val>
            <c:numRef>
              <c:f>'Experiment 1'!$B$16:$B$18</c:f>
              <c:numCache>
                <c:formatCode>General</c:formatCode>
                <c:ptCount val="3"/>
                <c:pt idx="0">
                  <c:v>63.94</c:v>
                </c:pt>
                <c:pt idx="1">
                  <c:v>19.440000000000001</c:v>
                </c:pt>
                <c:pt idx="2">
                  <c:v>16.04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2-4340-B4CE-04FCB713F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/>
              <a:t>Experiment One — Halstead Volume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HV</c:v>
          </c:tx>
          <c:invertIfNegative val="1"/>
          <c:dPt>
            <c:idx val="1"/>
            <c:invertIfNegative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0-DA5B-48F7-8173-CAB548416EDC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DA5B-48F7-8173-CAB548416EDC}"/>
              </c:ext>
            </c:extLst>
          </c:dPt>
          <c:cat>
            <c:strRef>
              <c:f>'Experiment 1'!$D$16:$D$18</c:f>
              <c:strCache>
                <c:ptCount val="3"/>
                <c:pt idx="0">
                  <c:v>Human-written</c:v>
                </c:pt>
                <c:pt idx="1">
                  <c:v>Claude</c:v>
                </c:pt>
                <c:pt idx="2">
                  <c:v>Codex</c:v>
                </c:pt>
              </c:strCache>
            </c:strRef>
          </c:cat>
          <c:val>
            <c:numRef>
              <c:f>'Experiment 1'!$E$16:$E$18</c:f>
              <c:numCache>
                <c:formatCode>General</c:formatCode>
                <c:ptCount val="3"/>
                <c:pt idx="0">
                  <c:v>3481.69</c:v>
                </c:pt>
                <c:pt idx="1">
                  <c:v>947.07</c:v>
                </c:pt>
                <c:pt idx="2">
                  <c:v>929.29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6-4AF4-B47D-E386AD2A4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/>
              <a:t>Experiment Two — Maintainability Index by Language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Human-written</c:v>
          </c:tx>
          <c:invertIfNegative val="1"/>
          <c:cat>
            <c:strRef>
              <c:f>'Experiment 2'!$A$16:$A$18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2'!$B$16:$B$18</c:f>
              <c:numCache>
                <c:formatCode>General</c:formatCode>
                <c:ptCount val="3"/>
                <c:pt idx="0">
                  <c:v>56.04</c:v>
                </c:pt>
                <c:pt idx="1">
                  <c:v>43.64</c:v>
                </c:pt>
                <c:pt idx="2">
                  <c:v>47.51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B-4ED0-BCE7-801A388CE413}"/>
            </c:ext>
          </c:extLst>
        </c:ser>
        <c:ser>
          <c:idx val="1"/>
          <c:order val="1"/>
          <c:tx>
            <c:v>Claude</c:v>
          </c:tx>
          <c:invertIfNegative val="1"/>
          <c:cat>
            <c:strRef>
              <c:f>'Experiment 2'!$A$16:$A$18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2'!$C$16:$C$18</c:f>
              <c:numCache>
                <c:formatCode>General</c:formatCode>
                <c:ptCount val="3"/>
                <c:pt idx="0">
                  <c:v>56.86</c:v>
                </c:pt>
                <c:pt idx="1">
                  <c:v>54.57</c:v>
                </c:pt>
                <c:pt idx="2">
                  <c:v>57.01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EB-4ED0-BCE7-801A388CE413}"/>
            </c:ext>
          </c:extLst>
        </c:ser>
        <c:ser>
          <c:idx val="2"/>
          <c:order val="2"/>
          <c:tx>
            <c:v>Codex</c:v>
          </c:tx>
          <c:invertIfNegative val="1"/>
          <c:cat>
            <c:strRef>
              <c:f>'Experiment 2'!$A$16:$A$18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2'!$D$16:$D$18</c:f>
              <c:numCache>
                <c:formatCode>General</c:formatCode>
                <c:ptCount val="3"/>
                <c:pt idx="0">
                  <c:v>86.51</c:v>
                </c:pt>
                <c:pt idx="1">
                  <c:v>64.53</c:v>
                </c:pt>
                <c:pt idx="2">
                  <c:v>53.03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EB-4ED0-BCE7-801A388CE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/>
              <a:t>Experiment Two — Cyclomatic Complexity by Language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Human-written</c:v>
          </c:tx>
          <c:invertIfNegative val="1"/>
          <c:cat>
            <c:strRef>
              <c:f>'Experiment 2'!$F$16:$F$18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2'!$G$16:$G$18</c:f>
              <c:numCache>
                <c:formatCode>General</c:formatCode>
                <c:ptCount val="3"/>
                <c:pt idx="0">
                  <c:v>9.33</c:v>
                </c:pt>
                <c:pt idx="1">
                  <c:v>34.619999999999997</c:v>
                </c:pt>
                <c:pt idx="2">
                  <c:v>12.19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B-43DE-877B-359AA837B6E1}"/>
            </c:ext>
          </c:extLst>
        </c:ser>
        <c:ser>
          <c:idx val="1"/>
          <c:order val="1"/>
          <c:tx>
            <c:v>Claude</c:v>
          </c:tx>
          <c:invertIfNegative val="1"/>
          <c:cat>
            <c:strRef>
              <c:f>'Experiment 2'!$F$16:$F$18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2'!$H$16:$H$18</c:f>
              <c:numCache>
                <c:formatCode>General</c:formatCode>
                <c:ptCount val="3"/>
                <c:pt idx="0">
                  <c:v>6.8</c:v>
                </c:pt>
                <c:pt idx="1">
                  <c:v>8.1</c:v>
                </c:pt>
                <c:pt idx="2">
                  <c:v>8.0500000000000007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B-43DE-877B-359AA837B6E1}"/>
            </c:ext>
          </c:extLst>
        </c:ser>
        <c:ser>
          <c:idx val="2"/>
          <c:order val="2"/>
          <c:tx>
            <c:v>Codex</c:v>
          </c:tx>
          <c:invertIfNegative val="1"/>
          <c:cat>
            <c:strRef>
              <c:f>'Experiment 2'!$F$16:$F$18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2'!$I$16:$I$18</c:f>
              <c:numCache>
                <c:formatCode>General</c:formatCode>
                <c:ptCount val="3"/>
                <c:pt idx="0">
                  <c:v>4.54</c:v>
                </c:pt>
                <c:pt idx="1">
                  <c:v>7.15</c:v>
                </c:pt>
                <c:pt idx="2">
                  <c:v>10.199999999999999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AB-43DE-877B-359AA837B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/>
              <a:t>Experiment Two — Lines of Code by Language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Human-written</c:v>
          </c:tx>
          <c:invertIfNegative val="1"/>
          <c:cat>
            <c:strRef>
              <c:f>'Experiment 2'!$A$22:$A$24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2'!$B$22:$B$24</c:f>
              <c:numCache>
                <c:formatCode>General</c:formatCode>
                <c:ptCount val="3"/>
                <c:pt idx="0">
                  <c:v>25.98</c:v>
                </c:pt>
                <c:pt idx="1">
                  <c:v>124.04</c:v>
                </c:pt>
                <c:pt idx="2">
                  <c:v>41.81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7-400E-88BD-F12D4FB32708}"/>
            </c:ext>
          </c:extLst>
        </c:ser>
        <c:ser>
          <c:idx val="1"/>
          <c:order val="1"/>
          <c:tx>
            <c:v>Claude</c:v>
          </c:tx>
          <c:invertIfNegative val="1"/>
          <c:cat>
            <c:strRef>
              <c:f>'Experiment 2'!$A$22:$A$24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2'!$C$22:$C$24</c:f>
              <c:numCache>
                <c:formatCode>General</c:formatCode>
                <c:ptCount val="3"/>
                <c:pt idx="0">
                  <c:v>17.91</c:v>
                </c:pt>
                <c:pt idx="1">
                  <c:v>29.74</c:v>
                </c:pt>
                <c:pt idx="2">
                  <c:v>26.16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7-400E-88BD-F12D4FB32708}"/>
            </c:ext>
          </c:extLst>
        </c:ser>
        <c:ser>
          <c:idx val="2"/>
          <c:order val="2"/>
          <c:tx>
            <c:v>Codex</c:v>
          </c:tx>
          <c:invertIfNegative val="1"/>
          <c:cat>
            <c:strRef>
              <c:f>'Experiment 2'!$A$22:$A$24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2'!$D$22:$D$24</c:f>
              <c:numCache>
                <c:formatCode>General</c:formatCode>
                <c:ptCount val="3"/>
                <c:pt idx="0">
                  <c:v>15</c:v>
                </c:pt>
                <c:pt idx="1">
                  <c:v>23.98</c:v>
                </c:pt>
                <c:pt idx="2">
                  <c:v>23.22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E7-400E-88BD-F12D4FB32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/>
              <a:t>Experiment Two — Halstead Volume by Language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Human-written</c:v>
          </c:tx>
          <c:invertIfNegative val="1"/>
          <c:cat>
            <c:strRef>
              <c:f>'Experiment 2'!$F$22:$F$24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2'!$G$22:$G$24</c:f>
              <c:numCache>
                <c:formatCode>General</c:formatCode>
                <c:ptCount val="3"/>
                <c:pt idx="0">
                  <c:v>1305.98</c:v>
                </c:pt>
                <c:pt idx="1">
                  <c:v>7219.4</c:v>
                </c:pt>
                <c:pt idx="2">
                  <c:v>1919.7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F-469D-95DA-03420FEAE8B3}"/>
            </c:ext>
          </c:extLst>
        </c:ser>
        <c:ser>
          <c:idx val="1"/>
          <c:order val="1"/>
          <c:tx>
            <c:v>Claude</c:v>
          </c:tx>
          <c:invertIfNegative val="1"/>
          <c:cat>
            <c:strRef>
              <c:f>'Experiment 2'!$F$22:$F$24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2'!$H$22:$H$24</c:f>
              <c:numCache>
                <c:formatCode>General</c:formatCode>
                <c:ptCount val="3"/>
                <c:pt idx="0">
                  <c:v>789.54</c:v>
                </c:pt>
                <c:pt idx="1">
                  <c:v>1473.21</c:v>
                </c:pt>
                <c:pt idx="2">
                  <c:v>1220.8800000000001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5F-469D-95DA-03420FEAE8B3}"/>
            </c:ext>
          </c:extLst>
        </c:ser>
        <c:ser>
          <c:idx val="2"/>
          <c:order val="2"/>
          <c:tx>
            <c:v>Codex</c:v>
          </c:tx>
          <c:invertIfNegative val="1"/>
          <c:cat>
            <c:strRef>
              <c:f>'Experiment 2'!$F$22:$F$24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'Experiment 2'!$I$22:$I$24</c:f>
              <c:numCache>
                <c:formatCode>General</c:formatCode>
                <c:ptCount val="3"/>
                <c:pt idx="0">
                  <c:v>778.42</c:v>
                </c:pt>
                <c:pt idx="1">
                  <c:v>1324.53</c:v>
                </c:pt>
                <c:pt idx="2">
                  <c:v>1023.79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5F-469D-95DA-03420FEAE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/>
              <a:t>Experiment Three — Maintainability Index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Older</c:v>
          </c:tx>
          <c:invertIfNegative val="1"/>
          <c:cat>
            <c:strRef>
              <c:f>'Experiment 3'!$A$11:$A$12</c:f>
              <c:strCache>
                <c:ptCount val="2"/>
                <c:pt idx="0">
                  <c:v>Codex</c:v>
                </c:pt>
                <c:pt idx="1">
                  <c:v>Claude</c:v>
                </c:pt>
              </c:strCache>
            </c:strRef>
          </c:cat>
          <c:val>
            <c:numRef>
              <c:f>'Experiment 3'!$B$11:$B$12</c:f>
              <c:numCache>
                <c:formatCode>General</c:formatCode>
                <c:ptCount val="2"/>
                <c:pt idx="0">
                  <c:v>75.19</c:v>
                </c:pt>
                <c:pt idx="1">
                  <c:v>82.15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9-43AD-AD70-16EE928EA4DE}"/>
            </c:ext>
          </c:extLst>
        </c:ser>
        <c:ser>
          <c:idx val="1"/>
          <c:order val="1"/>
          <c:tx>
            <c:v>Newer</c:v>
          </c:tx>
          <c:invertIfNegative val="1"/>
          <c:cat>
            <c:strRef>
              <c:f>'Experiment 3'!$A$11:$A$12</c:f>
              <c:strCache>
                <c:ptCount val="2"/>
                <c:pt idx="0">
                  <c:v>Codex</c:v>
                </c:pt>
                <c:pt idx="1">
                  <c:v>Claude</c:v>
                </c:pt>
              </c:strCache>
            </c:strRef>
          </c:cat>
          <c:val>
            <c:numRef>
              <c:f>'Experiment 3'!$C$11:$C$12</c:f>
              <c:numCache>
                <c:formatCode>General</c:formatCode>
                <c:ptCount val="2"/>
                <c:pt idx="0">
                  <c:v>76.540000000000006</c:v>
                </c:pt>
                <c:pt idx="1">
                  <c:v>84.56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09-43AD-AD70-16EE928EA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/>
              <a:t>Experiment Three — Cyclomatic Complexity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Older</c:v>
          </c:tx>
          <c:invertIfNegative val="1"/>
          <c:cat>
            <c:strRef>
              <c:f>'Experiment 3'!$E$11:$E$12</c:f>
              <c:strCache>
                <c:ptCount val="2"/>
                <c:pt idx="0">
                  <c:v>Codex</c:v>
                </c:pt>
                <c:pt idx="1">
                  <c:v>Claude</c:v>
                </c:pt>
              </c:strCache>
            </c:strRef>
          </c:cat>
          <c:val>
            <c:numRef>
              <c:f>'Experiment 3'!$F$11:$F$12</c:f>
              <c:numCache>
                <c:formatCode>General</c:formatCode>
                <c:ptCount val="2"/>
                <c:pt idx="0">
                  <c:v>7.3</c:v>
                </c:pt>
                <c:pt idx="1">
                  <c:v>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B-4698-90D2-867F5D1E0913}"/>
            </c:ext>
          </c:extLst>
        </c:ser>
        <c:ser>
          <c:idx val="1"/>
          <c:order val="1"/>
          <c:tx>
            <c:v>Newer</c:v>
          </c:tx>
          <c:invertIfNegative val="1"/>
          <c:cat>
            <c:strRef>
              <c:f>'Experiment 3'!$E$11:$E$12</c:f>
              <c:strCache>
                <c:ptCount val="2"/>
                <c:pt idx="0">
                  <c:v>Codex</c:v>
                </c:pt>
                <c:pt idx="1">
                  <c:v>Claude</c:v>
                </c:pt>
              </c:strCache>
            </c:strRef>
          </c:cat>
          <c:val>
            <c:numRef>
              <c:f>'Experiment 3'!$G$11:$G$12</c:f>
              <c:numCache>
                <c:formatCode>General</c:formatCode>
                <c:ptCount val="2"/>
                <c:pt idx="0">
                  <c:v>7.34</c:v>
                </c:pt>
                <c:pt idx="1">
                  <c:v>7.77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3B-4698-90D2-867F5D1E0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/>
              <a:t>Experiment Three — Lines of Code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Older</c:v>
          </c:tx>
          <c:invertIfNegative val="1"/>
          <c:cat>
            <c:strRef>
              <c:f>'Experiment 3'!$A$16:$A$17</c:f>
              <c:strCache>
                <c:ptCount val="2"/>
                <c:pt idx="0">
                  <c:v>Codex</c:v>
                </c:pt>
                <c:pt idx="1">
                  <c:v>Claude</c:v>
                </c:pt>
              </c:strCache>
            </c:strRef>
          </c:cat>
          <c:val>
            <c:numRef>
              <c:f>'Experiment 3'!$B$16:$B$17</c:f>
              <c:numCache>
                <c:formatCode>General</c:formatCode>
                <c:ptCount val="2"/>
                <c:pt idx="0">
                  <c:v>24.75</c:v>
                </c:pt>
                <c:pt idx="1">
                  <c:v>24.6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F-45CB-A725-AFD91EA6D358}"/>
            </c:ext>
          </c:extLst>
        </c:ser>
        <c:ser>
          <c:idx val="1"/>
          <c:order val="1"/>
          <c:tx>
            <c:v>Newer</c:v>
          </c:tx>
          <c:invertIfNegative val="1"/>
          <c:cat>
            <c:strRef>
              <c:f>'Experiment 3'!$A$16:$A$17</c:f>
              <c:strCache>
                <c:ptCount val="2"/>
                <c:pt idx="0">
                  <c:v>Codex</c:v>
                </c:pt>
                <c:pt idx="1">
                  <c:v>Claude</c:v>
                </c:pt>
              </c:strCache>
            </c:strRef>
          </c:cat>
          <c:val>
            <c:numRef>
              <c:f>'Experiment 3'!$C$16:$C$17</c:f>
              <c:numCache>
                <c:formatCode>General</c:formatCode>
                <c:ptCount val="2"/>
                <c:pt idx="0">
                  <c:v>1.06</c:v>
                </c:pt>
                <c:pt idx="1">
                  <c:v>30.12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4F-45CB-A725-AFD91EA6D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/>
              <a:t>Experiment Three — Halstead Volume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Older</c:v>
          </c:tx>
          <c:invertIfNegative val="1"/>
          <c:cat>
            <c:strRef>
              <c:f>'Experiment 3'!$E$16:$E$17</c:f>
              <c:strCache>
                <c:ptCount val="2"/>
                <c:pt idx="0">
                  <c:v>Codex</c:v>
                </c:pt>
                <c:pt idx="1">
                  <c:v>Claude</c:v>
                </c:pt>
              </c:strCache>
            </c:strRef>
          </c:cat>
          <c:val>
            <c:numRef>
              <c:f>'Experiment 3'!$F$16:$F$17</c:f>
              <c:numCache>
                <c:formatCode>General</c:formatCode>
                <c:ptCount val="2"/>
                <c:pt idx="0">
                  <c:v>1333.78</c:v>
                </c:pt>
                <c:pt idx="1">
                  <c:v>1161.21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E-44F5-B242-EF1F9F84892C}"/>
            </c:ext>
          </c:extLst>
        </c:ser>
        <c:ser>
          <c:idx val="1"/>
          <c:order val="1"/>
          <c:tx>
            <c:v>Newer</c:v>
          </c:tx>
          <c:invertIfNegative val="1"/>
          <c:cat>
            <c:strRef>
              <c:f>'Experiment 3'!$E$16:$E$17</c:f>
              <c:strCache>
                <c:ptCount val="2"/>
                <c:pt idx="0">
                  <c:v>Codex</c:v>
                </c:pt>
                <c:pt idx="1">
                  <c:v>Claude</c:v>
                </c:pt>
              </c:strCache>
            </c:strRef>
          </c:cat>
          <c:val>
            <c:numRef>
              <c:f>'Experiment 3'!$G$16:$G$17</c:f>
              <c:numCache>
                <c:formatCode>General</c:formatCode>
                <c:ptCount val="2"/>
                <c:pt idx="0">
                  <c:v>1231.2</c:v>
                </c:pt>
                <c:pt idx="1">
                  <c:v>1069.32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E-44F5-B242-EF1F9F848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/>
              <a:t>Experiment Four — Maintainability Index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Standard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4'!$A$11:$A$12</c:f>
              <c:strCache>
                <c:ptCount val="2"/>
                <c:pt idx="0">
                  <c:v>Claude</c:v>
                </c:pt>
                <c:pt idx="1">
                  <c:v>Codex</c:v>
                </c:pt>
              </c:strCache>
            </c:strRef>
          </c:cat>
          <c:val>
            <c:numRef>
              <c:f>'Experiment 4'!$B$11:$B$12</c:f>
              <c:numCache>
                <c:formatCode>General</c:formatCode>
                <c:ptCount val="2"/>
                <c:pt idx="0">
                  <c:v>54.62</c:v>
                </c:pt>
                <c:pt idx="1">
                  <c:v>75.48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2-4ADA-8D8D-BB45E06E4750}"/>
            </c:ext>
          </c:extLst>
        </c:ser>
        <c:ser>
          <c:idx val="1"/>
          <c:order val="1"/>
          <c:tx>
            <c:v>Maintainability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'Experiment 4'!$A$11:$A$12</c:f>
              <c:strCache>
                <c:ptCount val="2"/>
                <c:pt idx="0">
                  <c:v>Claude</c:v>
                </c:pt>
                <c:pt idx="1">
                  <c:v>Codex</c:v>
                </c:pt>
              </c:strCache>
            </c:strRef>
          </c:cat>
          <c:val>
            <c:numRef>
              <c:f>'Experiment 4'!$C$11:$C$12</c:f>
              <c:numCache>
                <c:formatCode>General</c:formatCode>
                <c:ptCount val="2"/>
                <c:pt idx="0">
                  <c:v>65</c:v>
                </c:pt>
                <c:pt idx="1">
                  <c:v>79.33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62-4ADA-8D8D-BB45E06E47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/>
              <a:t>Experiment Four — Cyclomatic Complexity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Standard</c:v>
          </c:tx>
          <c:invertIfNegative val="1"/>
          <c:cat>
            <c:strRef>
              <c:f>'Experiment 4'!$E$11:$E$12</c:f>
              <c:strCache>
                <c:ptCount val="2"/>
                <c:pt idx="0">
                  <c:v>Claude</c:v>
                </c:pt>
                <c:pt idx="1">
                  <c:v>Codex</c:v>
                </c:pt>
              </c:strCache>
            </c:strRef>
          </c:cat>
          <c:val>
            <c:numRef>
              <c:f>'Experiment 4'!$F$11:$F$12</c:f>
              <c:numCache>
                <c:formatCode>General</c:formatCode>
                <c:ptCount val="2"/>
                <c:pt idx="0">
                  <c:v>7.51</c:v>
                </c:pt>
                <c:pt idx="1">
                  <c:v>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C-41FB-B2F8-5269BA8E53E9}"/>
            </c:ext>
          </c:extLst>
        </c:ser>
        <c:ser>
          <c:idx val="1"/>
          <c:order val="1"/>
          <c:tx>
            <c:v>Maintainability</c:v>
          </c:tx>
          <c:invertIfNegative val="1"/>
          <c:cat>
            <c:strRef>
              <c:f>'Experiment 4'!$E$11:$E$12</c:f>
              <c:strCache>
                <c:ptCount val="2"/>
                <c:pt idx="0">
                  <c:v>Claude</c:v>
                </c:pt>
                <c:pt idx="1">
                  <c:v>Codex</c:v>
                </c:pt>
              </c:strCache>
            </c:strRef>
          </c:cat>
          <c:val>
            <c:numRef>
              <c:f>'Experiment 4'!$G$11:$G$12</c:f>
              <c:numCache>
                <c:formatCode>General</c:formatCode>
                <c:ptCount val="2"/>
                <c:pt idx="0">
                  <c:v>7.97</c:v>
                </c:pt>
                <c:pt idx="1">
                  <c:v>7.45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C-41FB-B2F8-5269BA8E5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/>
              <a:t>Experiment Four — Lines of Code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Standard</c:v>
          </c:tx>
          <c:invertIfNegative val="1"/>
          <c:cat>
            <c:strRef>
              <c:f>'Experiment 4'!$A$16:$A$17</c:f>
              <c:strCache>
                <c:ptCount val="2"/>
                <c:pt idx="0">
                  <c:v>Claude</c:v>
                </c:pt>
                <c:pt idx="1">
                  <c:v>Codex</c:v>
                </c:pt>
              </c:strCache>
            </c:strRef>
          </c:cat>
          <c:val>
            <c:numRef>
              <c:f>'Experiment 4'!$B$16:$B$17</c:f>
              <c:numCache>
                <c:formatCode>General</c:formatCode>
                <c:ptCount val="2"/>
                <c:pt idx="0">
                  <c:v>24.06</c:v>
                </c:pt>
                <c:pt idx="1">
                  <c:v>25.03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E-4D0B-8DB5-532EE84776F3}"/>
            </c:ext>
          </c:extLst>
        </c:ser>
        <c:ser>
          <c:idx val="1"/>
          <c:order val="1"/>
          <c:tx>
            <c:v>Maintainability</c:v>
          </c:tx>
          <c:invertIfNegative val="1"/>
          <c:cat>
            <c:strRef>
              <c:f>'Experiment 4'!$A$16:$A$17</c:f>
              <c:strCache>
                <c:ptCount val="2"/>
                <c:pt idx="0">
                  <c:v>Claude</c:v>
                </c:pt>
                <c:pt idx="1">
                  <c:v>Codex</c:v>
                </c:pt>
              </c:strCache>
            </c:strRef>
          </c:cat>
          <c:val>
            <c:numRef>
              <c:f>'Experiment 4'!$C$16:$C$17</c:f>
              <c:numCache>
                <c:formatCode>General</c:formatCode>
                <c:ptCount val="2"/>
                <c:pt idx="0">
                  <c:v>29.6</c:v>
                </c:pt>
                <c:pt idx="1">
                  <c:v>29.67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2E-4D0B-8DB5-532EE8477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/>
              <a:t>Experiment Four — Halstead Volume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Standard</c:v>
          </c:tx>
          <c:invertIfNegative val="1"/>
          <c:cat>
            <c:strRef>
              <c:f>'Experiment 4'!$E$16:$E$17</c:f>
              <c:strCache>
                <c:ptCount val="2"/>
                <c:pt idx="0">
                  <c:v>Claude</c:v>
                </c:pt>
                <c:pt idx="1">
                  <c:v>Codex</c:v>
                </c:pt>
              </c:strCache>
            </c:strRef>
          </c:cat>
          <c:val>
            <c:numRef>
              <c:f>'Experiment 4'!$F$16:$F$17</c:f>
              <c:numCache>
                <c:formatCode>General</c:formatCode>
                <c:ptCount val="2"/>
                <c:pt idx="0">
                  <c:v>1118.02</c:v>
                </c:pt>
                <c:pt idx="1">
                  <c:v>1123.83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A-4D52-B82B-8D963DF6D495}"/>
            </c:ext>
          </c:extLst>
        </c:ser>
        <c:ser>
          <c:idx val="1"/>
          <c:order val="1"/>
          <c:tx>
            <c:v>Maintainability</c:v>
          </c:tx>
          <c:invertIfNegative val="1"/>
          <c:cat>
            <c:strRef>
              <c:f>'Experiment 4'!$E$16:$E$17</c:f>
              <c:strCache>
                <c:ptCount val="2"/>
                <c:pt idx="0">
                  <c:v>Claude</c:v>
                </c:pt>
                <c:pt idx="1">
                  <c:v>Codex</c:v>
                </c:pt>
              </c:strCache>
            </c:strRef>
          </c:cat>
          <c:val>
            <c:numRef>
              <c:f>'Experiment 4'!$G$16:$G$17</c:f>
              <c:numCache>
                <c:formatCode>General</c:formatCode>
                <c:ptCount val="2"/>
                <c:pt idx="0">
                  <c:v>1166.21</c:v>
                </c:pt>
                <c:pt idx="1">
                  <c:v>1105.03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7A-4D52-B82B-8D963DF6D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21</xdr:col>
      <xdr:colOff>0</xdr:colOff>
      <xdr:row>16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0</xdr:colOff>
      <xdr:row>32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0</xdr:colOff>
      <xdr:row>16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17</xdr:row>
      <xdr:rowOff>-1</xdr:rowOff>
    </xdr:from>
    <xdr:to>
      <xdr:col>17</xdr:col>
      <xdr:colOff>0</xdr:colOff>
      <xdr:row>34</xdr:row>
      <xdr:rowOff>148167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0</xdr:colOff>
      <xdr:row>32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22</xdr:col>
      <xdr:colOff>0</xdr:colOff>
      <xdr:row>16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15</xdr:col>
      <xdr:colOff>0</xdr:colOff>
      <xdr:row>32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17</xdr:row>
      <xdr:rowOff>0</xdr:rowOff>
    </xdr:from>
    <xdr:to>
      <xdr:col>22</xdr:col>
      <xdr:colOff>0</xdr:colOff>
      <xdr:row>32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22</xdr:col>
      <xdr:colOff>0</xdr:colOff>
      <xdr:row>16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15</xdr:col>
      <xdr:colOff>0</xdr:colOff>
      <xdr:row>32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17</xdr:row>
      <xdr:rowOff>0</xdr:rowOff>
    </xdr:from>
    <xdr:to>
      <xdr:col>22</xdr:col>
      <xdr:colOff>0</xdr:colOff>
      <xdr:row>32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sqref="A1:F1"/>
    </sheetView>
  </sheetViews>
  <sheetFormatPr defaultRowHeight="13.8"/>
  <cols>
    <col min="1" max="1" width="20" customWidth="1"/>
    <col min="2" max="2" width="30" customWidth="1"/>
    <col min="3" max="3" width="34" customWidth="1"/>
    <col min="4" max="4" width="18" customWidth="1"/>
    <col min="5" max="5" width="22" customWidth="1"/>
    <col min="6" max="6" width="34" customWidth="1"/>
  </cols>
  <sheetData>
    <row r="1" spans="1:6" ht="20.85" customHeight="1">
      <c r="A1" s="17" t="s">
        <v>0</v>
      </c>
      <c r="B1" s="17"/>
      <c r="C1" s="17"/>
      <c r="D1" s="17"/>
      <c r="E1" s="17"/>
      <c r="F1" s="17"/>
    </row>
    <row r="3" spans="1:6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</row>
    <row r="4" spans="1:6">
      <c r="A4" s="4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6" t="s">
        <v>12</v>
      </c>
    </row>
    <row r="5" spans="1:6">
      <c r="A5" s="4" t="s">
        <v>13</v>
      </c>
      <c r="B5" s="5" t="s">
        <v>14</v>
      </c>
      <c r="C5" s="5" t="s">
        <v>15</v>
      </c>
      <c r="D5" s="5" t="s">
        <v>10</v>
      </c>
      <c r="E5" s="5" t="s">
        <v>16</v>
      </c>
      <c r="F5" s="6" t="s">
        <v>17</v>
      </c>
    </row>
    <row r="6" spans="1:6">
      <c r="A6" s="4" t="s">
        <v>18</v>
      </c>
      <c r="B6" s="5" t="s">
        <v>19</v>
      </c>
      <c r="C6" s="5" t="s">
        <v>20</v>
      </c>
      <c r="D6" s="5" t="s">
        <v>10</v>
      </c>
      <c r="E6" s="5" t="s">
        <v>16</v>
      </c>
      <c r="F6" s="6" t="s">
        <v>21</v>
      </c>
    </row>
    <row r="7" spans="1:6">
      <c r="A7" s="7" t="s">
        <v>22</v>
      </c>
      <c r="B7" s="8" t="s">
        <v>23</v>
      </c>
      <c r="C7" s="8" t="s">
        <v>24</v>
      </c>
      <c r="D7" s="8" t="s">
        <v>10</v>
      </c>
      <c r="E7" s="8" t="s">
        <v>16</v>
      </c>
      <c r="F7" s="9" t="s">
        <v>25</v>
      </c>
    </row>
    <row r="9" spans="1:6">
      <c r="A9" s="18" t="s">
        <v>26</v>
      </c>
      <c r="B9" s="18"/>
      <c r="C9" s="18"/>
      <c r="D9" s="18"/>
      <c r="E9" s="18"/>
      <c r="F9" s="18"/>
    </row>
    <row r="10" spans="1:6">
      <c r="A10" s="19" t="s">
        <v>27</v>
      </c>
      <c r="B10" s="19"/>
      <c r="C10" s="19"/>
      <c r="D10" s="19"/>
      <c r="E10" s="19"/>
      <c r="F10" s="19"/>
    </row>
    <row r="11" spans="1:6">
      <c r="A11" s="19" t="s">
        <v>28</v>
      </c>
      <c r="B11" s="19"/>
      <c r="C11" s="19"/>
      <c r="D11" s="19"/>
      <c r="E11" s="19"/>
      <c r="F11" s="19"/>
    </row>
    <row r="12" spans="1:6">
      <c r="A12" s="19" t="s">
        <v>29</v>
      </c>
      <c r="B12" s="19"/>
      <c r="C12" s="19"/>
      <c r="D12" s="19"/>
      <c r="E12" s="19"/>
      <c r="F12" s="19"/>
    </row>
  </sheetData>
  <mergeCells count="5">
    <mergeCell ref="A1:F1"/>
    <mergeCell ref="A9:F9"/>
    <mergeCell ref="A10:F10"/>
    <mergeCell ref="A11:F11"/>
    <mergeCell ref="A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abSelected="1" topLeftCell="F14" workbookViewId="0">
      <selection activeCell="Q40" sqref="Q40"/>
    </sheetView>
  </sheetViews>
  <sheetFormatPr defaultRowHeight="13.8"/>
  <cols>
    <col min="1" max="1" width="18" customWidth="1"/>
    <col min="2" max="2" width="20" customWidth="1"/>
    <col min="3" max="5" width="12" customWidth="1"/>
    <col min="6" max="6" width="14" customWidth="1"/>
  </cols>
  <sheetData>
    <row r="1" spans="1:6" ht="17.399999999999999">
      <c r="A1" s="17" t="s">
        <v>30</v>
      </c>
      <c r="B1" s="17"/>
      <c r="C1" s="17"/>
      <c r="D1" s="17"/>
      <c r="E1" s="17"/>
      <c r="F1" s="17"/>
    </row>
    <row r="3" spans="1:6">
      <c r="A3" s="1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3" t="s">
        <v>36</v>
      </c>
    </row>
    <row r="4" spans="1:6">
      <c r="A4" s="4" t="s">
        <v>37</v>
      </c>
      <c r="B4" s="10">
        <v>468</v>
      </c>
      <c r="C4" s="12">
        <v>49.06</v>
      </c>
      <c r="D4" s="12">
        <v>18.71</v>
      </c>
      <c r="E4" s="12">
        <v>63.94</v>
      </c>
      <c r="F4" s="13">
        <v>3481.69</v>
      </c>
    </row>
    <row r="5" spans="1:6">
      <c r="A5" s="4" t="s">
        <v>38</v>
      </c>
      <c r="B5" s="10">
        <v>243</v>
      </c>
      <c r="C5" s="12">
        <v>59.9</v>
      </c>
      <c r="D5" s="12">
        <v>6.85</v>
      </c>
      <c r="E5" s="12">
        <v>19.440000000000001</v>
      </c>
      <c r="F5" s="13">
        <v>947.07</v>
      </c>
    </row>
    <row r="6" spans="1:6">
      <c r="A6" s="7" t="s">
        <v>39</v>
      </c>
      <c r="B6" s="11">
        <v>246</v>
      </c>
      <c r="C6" s="14">
        <v>72.52</v>
      </c>
      <c r="D6" s="14">
        <v>5.33</v>
      </c>
      <c r="E6" s="14">
        <v>16.04</v>
      </c>
      <c r="F6" s="15">
        <v>929.29</v>
      </c>
    </row>
    <row r="9" spans="1:6">
      <c r="A9" s="16" t="s">
        <v>31</v>
      </c>
      <c r="B9" s="16" t="s">
        <v>33</v>
      </c>
      <c r="D9" s="16" t="s">
        <v>31</v>
      </c>
      <c r="E9" s="16" t="s">
        <v>34</v>
      </c>
    </row>
    <row r="10" spans="1:6">
      <c r="A10" t="s">
        <v>37</v>
      </c>
      <c r="B10">
        <v>49.06</v>
      </c>
      <c r="D10" t="s">
        <v>37</v>
      </c>
      <c r="E10">
        <v>18.71</v>
      </c>
    </row>
    <row r="11" spans="1:6">
      <c r="A11" t="s">
        <v>38</v>
      </c>
      <c r="B11">
        <v>59.9</v>
      </c>
      <c r="D11" t="s">
        <v>38</v>
      </c>
      <c r="E11">
        <v>6.85</v>
      </c>
    </row>
    <row r="12" spans="1:6">
      <c r="A12" t="s">
        <v>39</v>
      </c>
      <c r="B12">
        <v>72.52</v>
      </c>
      <c r="D12" t="s">
        <v>39</v>
      </c>
      <c r="E12">
        <v>5.33</v>
      </c>
    </row>
    <row r="15" spans="1:6">
      <c r="A15" s="16" t="s">
        <v>31</v>
      </c>
      <c r="B15" s="16" t="s">
        <v>35</v>
      </c>
      <c r="D15" s="16" t="s">
        <v>31</v>
      </c>
      <c r="E15" s="16" t="s">
        <v>36</v>
      </c>
    </row>
    <row r="16" spans="1:6">
      <c r="A16" t="s">
        <v>37</v>
      </c>
      <c r="B16">
        <v>63.94</v>
      </c>
      <c r="D16" t="s">
        <v>37</v>
      </c>
      <c r="E16">
        <v>3481.69</v>
      </c>
    </row>
    <row r="17" spans="1:5">
      <c r="A17" t="s">
        <v>38</v>
      </c>
      <c r="B17">
        <v>19.440000000000001</v>
      </c>
      <c r="D17" t="s">
        <v>38</v>
      </c>
      <c r="E17">
        <v>947.07</v>
      </c>
    </row>
    <row r="18" spans="1:5">
      <c r="A18" t="s">
        <v>39</v>
      </c>
      <c r="B18">
        <v>16.04</v>
      </c>
      <c r="D18" t="s">
        <v>39</v>
      </c>
      <c r="E18">
        <v>929.29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topLeftCell="D5" zoomScale="88" workbookViewId="0">
      <selection activeCell="O39" sqref="O39"/>
    </sheetView>
  </sheetViews>
  <sheetFormatPr defaultRowHeight="13.8"/>
  <cols>
    <col min="1" max="1" width="18" customWidth="1"/>
    <col min="2" max="2" width="20" customWidth="1"/>
    <col min="3" max="5" width="12" customWidth="1"/>
    <col min="6" max="6" width="14" customWidth="1"/>
  </cols>
  <sheetData>
    <row r="1" spans="1:9" ht="17.399999999999999">
      <c r="A1" s="17" t="s">
        <v>40</v>
      </c>
      <c r="B1" s="17"/>
      <c r="C1" s="17"/>
      <c r="D1" s="17"/>
      <c r="E1" s="17"/>
      <c r="F1" s="17"/>
    </row>
    <row r="3" spans="1:9">
      <c r="A3" s="1" t="s">
        <v>41</v>
      </c>
      <c r="B3" s="2" t="s">
        <v>31</v>
      </c>
      <c r="C3" s="2" t="s">
        <v>33</v>
      </c>
      <c r="D3" s="2" t="s">
        <v>34</v>
      </c>
      <c r="E3" s="2" t="s">
        <v>35</v>
      </c>
      <c r="F3" s="3" t="s">
        <v>36</v>
      </c>
    </row>
    <row r="4" spans="1:9">
      <c r="A4" s="4" t="s">
        <v>42</v>
      </c>
      <c r="B4" s="5" t="s">
        <v>37</v>
      </c>
      <c r="C4" s="12">
        <v>56.04</v>
      </c>
      <c r="D4" s="12">
        <v>9.33</v>
      </c>
      <c r="E4" s="12">
        <v>25.98</v>
      </c>
      <c r="F4" s="13">
        <v>1305.98</v>
      </c>
    </row>
    <row r="5" spans="1:9">
      <c r="A5" s="4" t="s">
        <v>42</v>
      </c>
      <c r="B5" s="5" t="s">
        <v>38</v>
      </c>
      <c r="C5" s="12">
        <v>56.86</v>
      </c>
      <c r="D5" s="12">
        <v>6.8</v>
      </c>
      <c r="E5" s="12">
        <v>17.91</v>
      </c>
      <c r="F5" s="13">
        <v>789.54</v>
      </c>
    </row>
    <row r="6" spans="1:9">
      <c r="A6" s="4" t="s">
        <v>42</v>
      </c>
      <c r="B6" s="5" t="s">
        <v>39</v>
      </c>
      <c r="C6" s="12">
        <v>86.51</v>
      </c>
      <c r="D6" s="12">
        <v>4.54</v>
      </c>
      <c r="E6" s="12">
        <v>15</v>
      </c>
      <c r="F6" s="13">
        <v>778.42</v>
      </c>
    </row>
    <row r="7" spans="1:9">
      <c r="A7" s="4" t="s">
        <v>43</v>
      </c>
      <c r="B7" s="5" t="s">
        <v>37</v>
      </c>
      <c r="C7" s="12">
        <v>43.64</v>
      </c>
      <c r="D7" s="12">
        <v>34.619999999999997</v>
      </c>
      <c r="E7" s="12">
        <v>124.04</v>
      </c>
      <c r="F7" s="13">
        <v>7219.4</v>
      </c>
    </row>
    <row r="8" spans="1:9">
      <c r="A8" s="4" t="s">
        <v>43</v>
      </c>
      <c r="B8" s="5" t="s">
        <v>38</v>
      </c>
      <c r="C8" s="12">
        <v>54.57</v>
      </c>
      <c r="D8" s="12">
        <v>8.1</v>
      </c>
      <c r="E8" s="12">
        <v>29.74</v>
      </c>
      <c r="F8" s="13">
        <v>1473.21</v>
      </c>
    </row>
    <row r="9" spans="1:9">
      <c r="A9" s="4" t="s">
        <v>43</v>
      </c>
      <c r="B9" s="5" t="s">
        <v>39</v>
      </c>
      <c r="C9" s="12">
        <v>64.53</v>
      </c>
      <c r="D9" s="12">
        <v>7.15</v>
      </c>
      <c r="E9" s="12">
        <v>23.98</v>
      </c>
      <c r="F9" s="13">
        <v>1324.53</v>
      </c>
    </row>
    <row r="10" spans="1:9">
      <c r="A10" s="4" t="s">
        <v>44</v>
      </c>
      <c r="B10" s="5" t="s">
        <v>37</v>
      </c>
      <c r="C10" s="12">
        <v>47.51</v>
      </c>
      <c r="D10" s="12">
        <v>12.19</v>
      </c>
      <c r="E10" s="12">
        <v>41.81</v>
      </c>
      <c r="F10" s="13">
        <v>1919.7</v>
      </c>
    </row>
    <row r="11" spans="1:9">
      <c r="A11" s="4" t="s">
        <v>44</v>
      </c>
      <c r="B11" s="5" t="s">
        <v>38</v>
      </c>
      <c r="C11" s="12">
        <v>57.01</v>
      </c>
      <c r="D11" s="12">
        <v>8.0500000000000007</v>
      </c>
      <c r="E11" s="12">
        <v>26.16</v>
      </c>
      <c r="F11" s="13">
        <v>1220.8800000000001</v>
      </c>
    </row>
    <row r="12" spans="1:9">
      <c r="A12" s="7" t="s">
        <v>44</v>
      </c>
      <c r="B12" s="8" t="s">
        <v>39</v>
      </c>
      <c r="C12" s="14">
        <v>53.03</v>
      </c>
      <c r="D12" s="14">
        <v>10.199999999999999</v>
      </c>
      <c r="E12" s="14">
        <v>23.22</v>
      </c>
      <c r="F12" s="15">
        <v>1023.79</v>
      </c>
    </row>
    <row r="15" spans="1:9">
      <c r="A15" s="16" t="s">
        <v>41</v>
      </c>
      <c r="B15" s="16" t="s">
        <v>37</v>
      </c>
      <c r="C15" s="16" t="s">
        <v>38</v>
      </c>
      <c r="D15" s="16" t="s">
        <v>39</v>
      </c>
      <c r="F15" s="16" t="s">
        <v>41</v>
      </c>
      <c r="G15" s="16" t="s">
        <v>37</v>
      </c>
      <c r="H15" s="16" t="s">
        <v>38</v>
      </c>
      <c r="I15" s="16" t="s">
        <v>39</v>
      </c>
    </row>
    <row r="16" spans="1:9">
      <c r="A16" t="s">
        <v>42</v>
      </c>
      <c r="B16">
        <v>56.04</v>
      </c>
      <c r="C16">
        <v>56.86</v>
      </c>
      <c r="D16">
        <v>86.51</v>
      </c>
      <c r="F16" t="s">
        <v>42</v>
      </c>
      <c r="G16">
        <v>9.33</v>
      </c>
      <c r="H16">
        <v>6.8</v>
      </c>
      <c r="I16">
        <v>4.54</v>
      </c>
    </row>
    <row r="17" spans="1:9">
      <c r="A17" t="s">
        <v>43</v>
      </c>
      <c r="B17">
        <v>43.64</v>
      </c>
      <c r="C17">
        <v>54.57</v>
      </c>
      <c r="D17">
        <v>64.53</v>
      </c>
      <c r="F17" t="s">
        <v>43</v>
      </c>
      <c r="G17">
        <v>34.619999999999997</v>
      </c>
      <c r="H17">
        <v>8.1</v>
      </c>
      <c r="I17">
        <v>7.15</v>
      </c>
    </row>
    <row r="18" spans="1:9">
      <c r="A18" t="s">
        <v>44</v>
      </c>
      <c r="B18">
        <v>47.51</v>
      </c>
      <c r="C18">
        <v>57.01</v>
      </c>
      <c r="D18">
        <v>53.03</v>
      </c>
      <c r="F18" t="s">
        <v>44</v>
      </c>
      <c r="G18">
        <v>12.19</v>
      </c>
      <c r="H18">
        <v>8.0500000000000007</v>
      </c>
      <c r="I18">
        <v>10.199999999999999</v>
      </c>
    </row>
    <row r="21" spans="1:9">
      <c r="A21" s="16" t="s">
        <v>41</v>
      </c>
      <c r="B21" s="16" t="s">
        <v>37</v>
      </c>
      <c r="C21" s="16" t="s">
        <v>38</v>
      </c>
      <c r="D21" s="16" t="s">
        <v>39</v>
      </c>
      <c r="F21" s="16" t="s">
        <v>41</v>
      </c>
      <c r="G21" s="16" t="s">
        <v>37</v>
      </c>
      <c r="H21" s="16" t="s">
        <v>38</v>
      </c>
      <c r="I21" s="16" t="s">
        <v>39</v>
      </c>
    </row>
    <row r="22" spans="1:9">
      <c r="A22" t="s">
        <v>42</v>
      </c>
      <c r="B22">
        <v>25.98</v>
      </c>
      <c r="C22">
        <v>17.91</v>
      </c>
      <c r="D22">
        <v>15</v>
      </c>
      <c r="F22" t="s">
        <v>42</v>
      </c>
      <c r="G22">
        <v>1305.98</v>
      </c>
      <c r="H22">
        <v>789.54</v>
      </c>
      <c r="I22">
        <v>778.42</v>
      </c>
    </row>
    <row r="23" spans="1:9">
      <c r="A23" t="s">
        <v>43</v>
      </c>
      <c r="B23">
        <v>124.04</v>
      </c>
      <c r="C23">
        <v>29.74</v>
      </c>
      <c r="D23">
        <v>23.98</v>
      </c>
      <c r="F23" t="s">
        <v>43</v>
      </c>
      <c r="G23">
        <v>7219.4</v>
      </c>
      <c r="H23">
        <v>1473.21</v>
      </c>
      <c r="I23">
        <v>1324.53</v>
      </c>
    </row>
    <row r="24" spans="1:9">
      <c r="A24" t="s">
        <v>44</v>
      </c>
      <c r="B24">
        <v>41.81</v>
      </c>
      <c r="C24">
        <v>26.16</v>
      </c>
      <c r="D24">
        <v>23.22</v>
      </c>
      <c r="F24" t="s">
        <v>44</v>
      </c>
      <c r="G24">
        <v>1919.7</v>
      </c>
      <c r="H24">
        <v>1220.8800000000001</v>
      </c>
      <c r="I24">
        <v>1023.79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topLeftCell="C6" workbookViewId="0">
      <selection sqref="A1:F1"/>
    </sheetView>
  </sheetViews>
  <sheetFormatPr defaultRowHeight="13.8"/>
  <cols>
    <col min="1" max="1" width="18" customWidth="1"/>
    <col min="2" max="2" width="20" customWidth="1"/>
    <col min="3" max="5" width="12" customWidth="1"/>
    <col min="6" max="6" width="14" customWidth="1"/>
  </cols>
  <sheetData>
    <row r="1" spans="1:7" ht="17.399999999999999">
      <c r="A1" s="17" t="s">
        <v>45</v>
      </c>
      <c r="B1" s="17"/>
      <c r="C1" s="17"/>
      <c r="D1" s="17"/>
      <c r="E1" s="17"/>
      <c r="F1" s="17"/>
    </row>
    <row r="3" spans="1:7">
      <c r="A3" s="1" t="s">
        <v>46</v>
      </c>
      <c r="B3" s="2" t="s">
        <v>47</v>
      </c>
      <c r="C3" s="2" t="s">
        <v>33</v>
      </c>
      <c r="D3" s="2" t="s">
        <v>34</v>
      </c>
      <c r="E3" s="2" t="s">
        <v>35</v>
      </c>
      <c r="F3" s="3" t="s">
        <v>36</v>
      </c>
    </row>
    <row r="4" spans="1:7">
      <c r="A4" s="4" t="s">
        <v>39</v>
      </c>
      <c r="B4" s="5" t="s">
        <v>48</v>
      </c>
      <c r="C4" s="12">
        <v>75.19</v>
      </c>
      <c r="D4" s="12">
        <v>7.3</v>
      </c>
      <c r="E4" s="12">
        <v>24.75</v>
      </c>
      <c r="F4" s="13">
        <v>1333.78</v>
      </c>
    </row>
    <row r="5" spans="1:7">
      <c r="A5" s="4" t="s">
        <v>39</v>
      </c>
      <c r="B5" s="5" t="s">
        <v>49</v>
      </c>
      <c r="C5" s="12">
        <v>76.540000000000006</v>
      </c>
      <c r="D5" s="12">
        <v>7.34</v>
      </c>
      <c r="E5" s="12">
        <v>1.06</v>
      </c>
      <c r="F5" s="13">
        <v>1231.2</v>
      </c>
    </row>
    <row r="6" spans="1:7">
      <c r="A6" s="4" t="s">
        <v>38</v>
      </c>
      <c r="B6" s="5" t="s">
        <v>50</v>
      </c>
      <c r="C6" s="12">
        <v>82.15</v>
      </c>
      <c r="D6" s="12">
        <v>7.65</v>
      </c>
      <c r="E6" s="12">
        <v>24.6</v>
      </c>
      <c r="F6" s="13">
        <v>1161.21</v>
      </c>
    </row>
    <row r="7" spans="1:7">
      <c r="A7" s="7" t="s">
        <v>38</v>
      </c>
      <c r="B7" s="8" t="s">
        <v>51</v>
      </c>
      <c r="C7" s="14">
        <v>84.56</v>
      </c>
      <c r="D7" s="14">
        <v>7.77</v>
      </c>
      <c r="E7" s="14">
        <v>30.12</v>
      </c>
      <c r="F7" s="15">
        <v>1069.32</v>
      </c>
    </row>
    <row r="10" spans="1:7">
      <c r="A10" s="16" t="s">
        <v>46</v>
      </c>
      <c r="B10" s="16" t="s">
        <v>52</v>
      </c>
      <c r="C10" s="16" t="s">
        <v>53</v>
      </c>
      <c r="E10" s="16" t="s">
        <v>46</v>
      </c>
      <c r="F10" s="16" t="s">
        <v>52</v>
      </c>
      <c r="G10" s="16" t="s">
        <v>53</v>
      </c>
    </row>
    <row r="11" spans="1:7">
      <c r="A11" t="s">
        <v>39</v>
      </c>
      <c r="B11">
        <v>75.19</v>
      </c>
      <c r="C11">
        <v>76.540000000000006</v>
      </c>
      <c r="E11" t="s">
        <v>39</v>
      </c>
      <c r="F11">
        <v>7.3</v>
      </c>
      <c r="G11">
        <v>7.34</v>
      </c>
    </row>
    <row r="12" spans="1:7">
      <c r="A12" t="s">
        <v>38</v>
      </c>
      <c r="B12">
        <v>82.15</v>
      </c>
      <c r="C12">
        <v>84.56</v>
      </c>
      <c r="E12" t="s">
        <v>38</v>
      </c>
      <c r="F12">
        <v>7.65</v>
      </c>
      <c r="G12">
        <v>7.77</v>
      </c>
    </row>
    <row r="15" spans="1:7">
      <c r="A15" s="16" t="s">
        <v>46</v>
      </c>
      <c r="B15" s="16" t="s">
        <v>52</v>
      </c>
      <c r="C15" s="16" t="s">
        <v>53</v>
      </c>
      <c r="E15" s="16" t="s">
        <v>46</v>
      </c>
      <c r="F15" s="16" t="s">
        <v>52</v>
      </c>
      <c r="G15" s="16" t="s">
        <v>53</v>
      </c>
    </row>
    <row r="16" spans="1:7">
      <c r="A16" t="s">
        <v>39</v>
      </c>
      <c r="B16">
        <v>24.75</v>
      </c>
      <c r="C16">
        <v>1.06</v>
      </c>
      <c r="E16" t="s">
        <v>39</v>
      </c>
      <c r="F16">
        <v>1333.78</v>
      </c>
      <c r="G16">
        <v>1231.2</v>
      </c>
    </row>
    <row r="17" spans="1:7">
      <c r="A17" t="s">
        <v>38</v>
      </c>
      <c r="B17">
        <v>24.6</v>
      </c>
      <c r="C17">
        <v>30.12</v>
      </c>
      <c r="E17" t="s">
        <v>38</v>
      </c>
      <c r="F17">
        <v>1161.21</v>
      </c>
      <c r="G17">
        <v>1069.32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topLeftCell="B1" zoomScale="73" workbookViewId="0">
      <selection activeCell="F23" sqref="F23"/>
    </sheetView>
  </sheetViews>
  <sheetFormatPr defaultRowHeight="13.8"/>
  <cols>
    <col min="1" max="1" width="18" customWidth="1"/>
    <col min="2" max="2" width="20" customWidth="1"/>
    <col min="3" max="5" width="12" customWidth="1"/>
    <col min="6" max="6" width="14" customWidth="1"/>
  </cols>
  <sheetData>
    <row r="1" spans="1:7" ht="17.399999999999999">
      <c r="A1" s="17" t="s">
        <v>54</v>
      </c>
      <c r="B1" s="17"/>
      <c r="C1" s="17"/>
      <c r="D1" s="17"/>
      <c r="E1" s="17"/>
      <c r="F1" s="17"/>
    </row>
    <row r="3" spans="1:7">
      <c r="A3" s="1" t="s">
        <v>46</v>
      </c>
      <c r="B3" s="2" t="s">
        <v>55</v>
      </c>
      <c r="C3" s="2" t="s">
        <v>33</v>
      </c>
      <c r="D3" s="2" t="s">
        <v>34</v>
      </c>
      <c r="E3" s="2" t="s">
        <v>35</v>
      </c>
      <c r="F3" s="3" t="s">
        <v>36</v>
      </c>
    </row>
    <row r="4" spans="1:7">
      <c r="A4" s="4" t="s">
        <v>38</v>
      </c>
      <c r="B4" s="5" t="s">
        <v>56</v>
      </c>
      <c r="C4" s="12">
        <v>54.62</v>
      </c>
      <c r="D4" s="12">
        <v>7.51</v>
      </c>
      <c r="E4" s="12">
        <v>24.06</v>
      </c>
      <c r="F4" s="13">
        <v>1118.02</v>
      </c>
    </row>
    <row r="5" spans="1:7">
      <c r="A5" s="4" t="s">
        <v>38</v>
      </c>
      <c r="B5" s="5" t="s">
        <v>57</v>
      </c>
      <c r="C5" s="12">
        <v>65</v>
      </c>
      <c r="D5" s="12">
        <v>7.97</v>
      </c>
      <c r="E5" s="12">
        <v>29.6</v>
      </c>
      <c r="F5" s="13">
        <v>1166.21</v>
      </c>
    </row>
    <row r="6" spans="1:7">
      <c r="A6" s="4" t="s">
        <v>39</v>
      </c>
      <c r="B6" s="5" t="s">
        <v>56</v>
      </c>
      <c r="C6" s="12">
        <v>75.48</v>
      </c>
      <c r="D6" s="12">
        <v>6.35</v>
      </c>
      <c r="E6" s="12">
        <v>25.03</v>
      </c>
      <c r="F6" s="13">
        <v>1123.83</v>
      </c>
    </row>
    <row r="7" spans="1:7">
      <c r="A7" s="7" t="s">
        <v>39</v>
      </c>
      <c r="B7" s="8" t="s">
        <v>57</v>
      </c>
      <c r="C7" s="14">
        <v>79.33</v>
      </c>
      <c r="D7" s="14">
        <v>7.45</v>
      </c>
      <c r="E7" s="14">
        <v>29.67</v>
      </c>
      <c r="F7" s="15">
        <v>1105.03</v>
      </c>
    </row>
    <row r="10" spans="1:7">
      <c r="A10" s="16" t="s">
        <v>46</v>
      </c>
      <c r="B10" s="16" t="s">
        <v>56</v>
      </c>
      <c r="C10" s="16" t="s">
        <v>57</v>
      </c>
      <c r="E10" s="16" t="s">
        <v>46</v>
      </c>
      <c r="F10" s="16" t="s">
        <v>56</v>
      </c>
      <c r="G10" s="16" t="s">
        <v>57</v>
      </c>
    </row>
    <row r="11" spans="1:7">
      <c r="A11" t="s">
        <v>38</v>
      </c>
      <c r="B11">
        <v>54.62</v>
      </c>
      <c r="C11">
        <v>65</v>
      </c>
      <c r="E11" t="s">
        <v>38</v>
      </c>
      <c r="F11">
        <v>7.51</v>
      </c>
      <c r="G11">
        <v>7.97</v>
      </c>
    </row>
    <row r="12" spans="1:7">
      <c r="A12" t="s">
        <v>39</v>
      </c>
      <c r="B12">
        <v>75.48</v>
      </c>
      <c r="C12">
        <v>79.33</v>
      </c>
      <c r="E12" t="s">
        <v>39</v>
      </c>
      <c r="F12">
        <v>6.35</v>
      </c>
      <c r="G12">
        <v>7.45</v>
      </c>
    </row>
    <row r="15" spans="1:7">
      <c r="A15" s="16" t="s">
        <v>46</v>
      </c>
      <c r="B15" s="16" t="s">
        <v>56</v>
      </c>
      <c r="C15" s="16" t="s">
        <v>57</v>
      </c>
      <c r="E15" s="16" t="s">
        <v>46</v>
      </c>
      <c r="F15" s="16" t="s">
        <v>56</v>
      </c>
      <c r="G15" s="16" t="s">
        <v>57</v>
      </c>
    </row>
    <row r="16" spans="1:7">
      <c r="A16" t="s">
        <v>38</v>
      </c>
      <c r="B16">
        <v>24.06</v>
      </c>
      <c r="C16">
        <v>29.6</v>
      </c>
      <c r="E16" t="s">
        <v>38</v>
      </c>
      <c r="F16">
        <v>1118.02</v>
      </c>
      <c r="G16">
        <v>1166.21</v>
      </c>
    </row>
    <row r="17" spans="1:7">
      <c r="A17" t="s">
        <v>39</v>
      </c>
      <c r="B17">
        <v>25.03</v>
      </c>
      <c r="C17">
        <v>29.67</v>
      </c>
      <c r="E17" t="s">
        <v>39</v>
      </c>
      <c r="F17">
        <v>1123.83</v>
      </c>
      <c r="G17">
        <v>1105.03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Experiment 1</vt:lpstr>
      <vt:lpstr>Experiment 2</vt:lpstr>
      <vt:lpstr>Experiment 3</vt:lpstr>
      <vt:lpstr>Experiment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Garen Vartanian</cp:lastModifiedBy>
  <dcterms:modified xsi:type="dcterms:W3CDTF">2026-10-12T00:19:49Z</dcterms:modified>
</cp:coreProperties>
</file>